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66A03D6-5C6B-4B89-8ED9-2EB86EB0B15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/>
  <c r="E3" i="1"/>
  <c r="E10" i="1"/>
  <c r="E22" i="1"/>
  <c r="E5" i="1"/>
  <c r="E26" i="1"/>
  <c r="E15" i="1"/>
  <c r="E4" i="1"/>
  <c r="E11" i="1"/>
  <c r="E6" i="1"/>
  <c r="E23" i="1"/>
</calcChain>
</file>

<file path=xl/sharedStrings.xml><?xml version="1.0" encoding="utf-8"?>
<sst xmlns="http://schemas.openxmlformats.org/spreadsheetml/2006/main" count="53" uniqueCount="34">
  <si>
    <t>Grabber 1 Exclusive Parts</t>
  </si>
  <si>
    <t>Part Name</t>
  </si>
  <si>
    <t>Qty</t>
  </si>
  <si>
    <t>Price/Item w/o VAT</t>
  </si>
  <si>
    <t>Price/Item w/ VAT</t>
  </si>
  <si>
    <t>Price</t>
  </si>
  <si>
    <t>URL</t>
  </si>
  <si>
    <t>300mm MGN12 Linear Rail + 2x MGN12H Linear Rail Carriages</t>
  </si>
  <si>
    <t>https://www.technobotsonline.com/300mm-mgn12r-2-x-mgn12h-linear-slide-rail-and-carriages.html</t>
  </si>
  <si>
    <t>350mm Stainless Steel T8 Lead Screw With Brass Nut</t>
  </si>
  <si>
    <t>https://www.technobotsonline.com/makertronics-350mm-long-stainless-steel-t8-lead-screw-with-brass-nut.html</t>
  </si>
  <si>
    <t>Split Shaft Coupling 5mm to 8mm</t>
  </si>
  <si>
    <t>https://www.technobotsonline.com/makertronics-aluminium-split-shaft-coupler-5-8mm.html</t>
  </si>
  <si>
    <t>Ball Bearing 8mm Bore 22mm Outer Diameter</t>
  </si>
  <si>
    <t>https://www.technobotsonline.com/miniature-model-bearing-608zz-8x22x7.html</t>
  </si>
  <si>
    <t>Grabber 2 Exclusive Parts</t>
  </si>
  <si>
    <t>Pos_M2.5x20mm Screws x100</t>
  </si>
  <si>
    <t>https://uk.rs-online.com/web/p/machine-screws/0560574</t>
  </si>
  <si>
    <t>500pcs M3 Hex Bolt and Nut Kit</t>
  </si>
  <si>
    <t>https://www.amazon.co.uk/Socket-Screws-Machine-Fastener-Assortment/dp/B0D8TGLWQ1/ref=sr_1_7?dib=eyJ2IjoiMSJ9.CwlBZ_n2RKmlmJX-OOzIT_YX9qzECmulM3pzLU0aMLsv9XqOfz8oKGDaqaZmUBlSDk0PdNO64HhRB7Q-6ay34X01KgcybkNdR9CMLSis1u5lpfeJZIFBWQD86zeTP2z5awu7QM3FRyE8MG7Ndt9Tk4bNdOfVzp3eqQJ2r1Io1t7QKJegJWTjDseIHRV_xc7BFVS4MuxJ4rcma1mq2Emo86j2PI5t3XJw0_bs9h9bIreOEsSRSWjLo886-en2ZxldmA4TIoZdVglUoeLyewgBHFQwFjmaGb2TT4Rb_POqsBI.kErx1x7g3ND3gyKx16BMqaALbAOEdAwSLroygEQxZ7c&amp;dib_tag=se&amp;keywords=m3%2Bhex%2Bbolts&amp;qid=1773415459&amp;sr=8-7&amp;th=1</t>
  </si>
  <si>
    <t>Motor + Driver Parts</t>
  </si>
  <si>
    <t>1.68A Nema 17 Bipolar Stepper Motor</t>
  </si>
  <si>
    <t>https://www.technobotsonline.com/stepper-motor-17hs8401-nema-17-1.68a-4.5mh-1.8r-55-n.cm.html</t>
  </si>
  <si>
    <t>Pololu A4988 Stepper Motor Driver</t>
  </si>
  <si>
    <t>https://www.technobotsonline.com/pololu-a4988-stepper-motor-driver-carrier.html</t>
  </si>
  <si>
    <t>100nF Capacitor</t>
  </si>
  <si>
    <t>Arin's Parts/Free from ECS?</t>
  </si>
  <si>
    <t>100uF Capacitor</t>
  </si>
  <si>
    <t>Other Shared Parts</t>
  </si>
  <si>
    <t>60mm Nylon M3 F-F 5.5mm Hex Spacer x10</t>
  </si>
  <si>
    <t>https://uk.rs-online.com/web/p/standoffs/6643268</t>
  </si>
  <si>
    <t>Lever Microswitch x5</t>
  </si>
  <si>
    <t>https://uk.rs-online.com/web/p/micro-switches/0241233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</si>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</sst>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  <scheme val="minor"/>
    </font>
    <font>
      <name val="Aptos Narrow"/>
      <sz val="11.00"/>
      <color rgb="FF000000"/>
      <family val="2"/>
    </font>
    <font>
      <name val="Aptos Narrow"/>
      <sz val="20.00"/>
      <color rgb="FF000000"/>
      <family val="2"/>
    </font>
    <font>
      <name val="Aptos Narrow"/>
      <sz val="11.00"/>
      <u val="single"/>
      <color rgb="FF467886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fontId="1" applyFont="1" borderId="1" applyBorder="1"/>
    <xf fontId="2" applyFont="1"/>
    <xf fontId="1" applyFont="1"/>
    <xf fontId="3" applyFont="1"/>
  </cellStyleXfs>
  <cellXfs count="5">
    <xf numFmtId="0" fontId="0" fillId="0" borderId="0" xfId="0"/>
    <xf xfId="2" quotePrefix="0" pivotButton="0" fontId="2" applyFont="1"/>
    <xf xfId="1" quotePrefix="0" pivotButton="0" fontId="1" applyFont="1" borderId="1" applyBorder="1"/>
    <xf xfId="3" quotePrefix="0" pivotButton="0" fontId="1" applyFont="1"/>
    <xf xfId="4" quotePrefix="0" pivotButton="0" fontId="3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9.20"/>
  <cols>
    <col min="1" max="1" width="49.18" customWidth="1" hidden="0"/>
    <col min="3" max="4" width="9.08" customWidth="1" hidden="0"/>
    <col min="6" max="6" width="255.61" customWidth="1" hidden="0"/>
  </cols>
  <sheetData>
    <row r="1" ht="27.00" customHeight="true">
      <c r="A1" s="1" t="s">
        <v>0</v>
      </c>
    </row>
    <row r="2" ht="14.25" customHeight="tru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4.25" customHeight="true">
      <c r="A3" s="3" t="s">
        <v>7</v>
      </c>
      <c r="B3" s="3">
        <v>1</v>
      </c>
      <c r="C3" s="3">
        <v>24.09</v>
      </c>
      <c r="D3" s="3">
        <v>28.91</v>
      </c>
      <c r="E3" s="3">
        <f>=D3*B3</f>
      </c>
      <c r="F3" s="3" t="s">
        <v>8</v>
      </c>
    </row>
    <row r="4" ht="14.25" customHeight="true">
      <c r="A4" s="3" t="s">
        <v>9</v>
      </c>
      <c r="B4" s="3">
        <v>1</v>
      </c>
      <c r="C4" s="3">
        <v>5.1</v>
      </c>
      <c r="D4" s="3">
        <v>6.12</v>
      </c>
      <c r="E4" s="3">
        <f>=D4*B4</f>
      </c>
      <c r="F4" s="4" t="s">
        <v>10</v>
      </c>
    </row>
    <row r="5" ht="14.25" customHeight="true">
      <c r="A5" s="3" t="s">
        <v>11</v>
      </c>
      <c r="B5" s="3">
        <v>1</v>
      </c>
      <c r="C5" s="3">
        <v>2.75</v>
      </c>
      <c r="D5" s="3">
        <v>3.3</v>
      </c>
      <c r="E5" s="3">
        <f>=D5*B5</f>
      </c>
      <c r="F5" s="3" t="s">
        <v>12</v>
      </c>
    </row>
    <row r="6" ht="14.25" customHeight="true">
      <c r="A6" s="3" t="s">
        <v>13</v>
      </c>
      <c r="B6" s="3">
        <v>1</v>
      </c>
      <c r="C6" s="3">
        <v>0.63</v>
      </c>
      <c r="D6" s="3">
        <v>0.76</v>
      </c>
      <c r="E6" s="3">
        <f>=D6*B6</f>
      </c>
      <c r="F6" s="3" t="s">
        <v>14</v>
      </c>
    </row>
    <row r="8" ht="27.00" customHeight="true">
      <c r="A8" s="1" t="s">
        <v>15</v>
      </c>
    </row>
    <row r="9" ht="14.25" customHeight="true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ht="14.25" customHeight="true">
      <c r="A10" s="3" t="s">
        <v>16</v>
      </c>
      <c r="B10" s="3">
        <v>1</v>
      </c>
      <c r="C10" s="3">
        <v>3.79</v>
      </c>
      <c r="D10" s="3">
        <v>4.55</v>
      </c>
      <c r="E10" s="3">
        <f>=D10*B10</f>
      </c>
      <c r="F10" s="4" t="s">
        <v>17</v>
      </c>
    </row>
    <row r="11" ht="14.25" customHeight="true">
      <c r="A11" s="3" t="s">
        <v>18</v>
      </c>
      <c r="B11" s="3">
        <v>1</v>
      </c>
      <c r="C11" s="3">
        <v>5.99</v>
      </c>
      <c r="D11" s="3">
        <v>5.99</v>
      </c>
      <c r="E11" s="3">
        <f>=D11*B11</f>
      </c>
      <c r="F11" s="4" t="s">
        <v>19</v>
      </c>
    </row>
    <row r="13" ht="27.00" customHeight="true">
      <c r="A13" s="1" t="s">
        <v>20</v>
      </c>
    </row>
    <row r="14" ht="14.25" customHeight="true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</row>
    <row r="15" ht="14.25" customHeight="true">
      <c r="A15" s="3" t="s">
        <v>21</v>
      </c>
      <c r="B15" s="3">
        <v>2</v>
      </c>
      <c r="C15" s="3">
        <v>15.96</v>
      </c>
      <c r="D15" s="3">
        <v>19.1499999999999</v>
      </c>
      <c r="E15" s="3">
        <f>=D15*B15</f>
      </c>
      <c r="F15" s="4" t="s">
        <v>22</v>
      </c>
    </row>
    <row r="16" ht="14.25" customHeight="true">
      <c r="A16" s="3" t="s">
        <v>23</v>
      </c>
      <c r="B16" s="3">
        <v>2</v>
      </c>
      <c r="C16" s="3">
        <v>6.04</v>
      </c>
      <c r="D16" s="3">
        <v>7.25</v>
      </c>
      <c r="E16" s="3">
        <f>=D16*B16</f>
      </c>
      <c r="F16" s="4" t="s">
        <v>24</v>
      </c>
    </row>
    <row r="17" ht="14.25" customHeight="true">
      <c r="A17" s="3" t="s">
        <v>25</v>
      </c>
      <c r="B17" s="3">
        <v>2</v>
      </c>
      <c r="C17" s="3">
        <v>0</v>
      </c>
      <c r="D17" s="3">
        <v>0</v>
      </c>
      <c r="E17" s="3">
        <v>0</v>
      </c>
      <c r="F17" s="3" t="s">
        <v>26</v>
      </c>
    </row>
    <row r="18" ht="14.25" customHeight="true">
      <c r="A18" s="3" t="s">
        <v>27</v>
      </c>
      <c r="B18" s="3">
        <v>2</v>
      </c>
      <c r="C18" s="3">
        <v>0</v>
      </c>
      <c r="D18" s="3">
        <v>0</v>
      </c>
      <c r="E18" s="3">
        <v>0</v>
      </c>
      <c r="F18" s="3" t="s">
        <v>26</v>
      </c>
    </row>
    <row r="20" ht="27.00" customHeight="true">
      <c r="A20" s="1" t="s">
        <v>28</v>
      </c>
    </row>
    <row r="21" ht="14.25" customHeight="true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</row>
    <row r="22" ht="14.25" customHeight="true">
      <c r="A22" s="3" t="s">
        <v>29</v>
      </c>
      <c r="B22" s="3">
        <v>1</v>
      </c>
      <c r="C22" s="3">
        <v>9.23</v>
      </c>
      <c r="D22" s="3">
        <v>11.08</v>
      </c>
      <c r="E22" s="3">
        <f>=D22*B22</f>
      </c>
      <c r="F22" s="4" t="s">
        <v>30</v>
      </c>
    </row>
    <row r="23" ht="14.25" customHeight="true">
      <c r="A23" s="3" t="s">
        <v>31</v>
      </c>
      <c r="B23" s="3">
        <v>1</v>
      </c>
      <c r="C23" s="3">
        <v>12.8</v>
      </c>
      <c r="D23" s="3">
        <v>15.3599999999999</v>
      </c>
      <c r="E23" s="3">
        <f>=D23*B23</f>
      </c>
      <c r="F23" s="3" t="s">
        <v>32</v>
      </c>
    </row>
    <row r="25" ht="14.25" customHeight="true">
      <c r="E25" s="3" t="s">
        <v>33</v>
      </c>
    </row>
    <row r="26" ht="14.25" customHeight="true">
      <c r="E26" s="3">
        <f>=SUM(E3:E23)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2026-04-26T21:22:18Z</dcterms:created>
  <dcterms:modified xsi:type="dcterms:W3CDTF">2026-04-26T21:22:18Z</dcterms:modified>
</cp:coreProperties>
</file>