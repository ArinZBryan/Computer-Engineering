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EAB693-45D5-46C3-9B14-539C155A120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/>
  <c r="D37" i="1"/>
  <c r="D33" i="1"/>
  <c r="D4" i="1"/>
  <c r="D12" i="1"/>
  <c r="D41" i="1"/>
  <c r="D11" i="1"/>
  <c r="D5" i="1"/>
  <c r="D21" i="1"/>
  <c r="D32" i="1"/>
  <c r="D18" i="1"/>
  <c r="D35" i="1"/>
  <c r="D38" i="1"/>
  <c r="D22" i="1"/>
  <c r="D36" i="1"/>
  <c r="D40" i="1"/>
  <c r="D25" i="1"/>
  <c r="D23" i="1"/>
  <c r="D7" i="1"/>
  <c r="D17" i="1"/>
  <c r="D9" i="1"/>
  <c r="D16" i="1"/>
  <c r="D3" i="1"/>
  <c r="D6" i="1"/>
  <c r="D10" i="1"/>
  <c r="D24" i="1"/>
  <c r="D27" i="1"/>
  <c r="D43" i="1"/>
  <c r="D20" i="1"/>
  <c r="D39" i="1"/>
  <c r="D34" i="1"/>
  <c r="D19" i="1"/>
</calcChain>
</file>

<file path=xl/sharedStrings.xml><?xml version="1.0" encoding="utf-8"?>
<sst xmlns="http://schemas.openxmlformats.org/spreadsheetml/2006/main" count="81" uniqueCount="33">
  <si>
    <t>Hardware Validation</t>
  </si>
  <si>
    <t>Part</t>
  </si>
  <si>
    <t>Qty</t>
  </si>
  <si>
    <t>£/Unit</t>
  </si>
  <si>
    <t>£/Total</t>
  </si>
  <si>
    <t>URL</t>
  </si>
  <si>
    <t>Bosch BNO055 w/ Carrier Board</t>
  </si>
  <si>
    <t>https://thepihut.com/products/adafruit-9-dof-absolute-orientation-imu-fusion-breakout-bno055</t>
  </si>
  <si>
    <t>Rasberry Pi Pico 2 w/ headers</t>
  </si>
  <si>
    <t>https://thepihut.com/products/raspberry-pi-pico-2?variant=54063366701441</t>
  </si>
  <si>
    <t>Microchip MCP2515-I/P</t>
  </si>
  <si>
    <t>https://uk.rs-online.com/web/p/can-interface-ics/6283532</t>
  </si>
  <si>
    <t>PCA9685</t>
  </si>
  <si>
    <t>https://www.adafruit.com/product/815</t>
  </si>
  <si>
    <t>MPL3115A2  w/ Carrier Board</t>
  </si>
  <si>
    <t>https://thepihut.com/products/adafruit-mpl3115a2-i2c-barometric-pressure-altitude-temperature-sensor?variant=27739670609&amp;country=GB&amp;currency=GBP&amp;utm_medium=product_sync&amp;utm_source=google&amp;utm_content=sag_organic&amp;utm_campaign=sag_organic</t>
  </si>
  <si>
    <t>Adafruit RFM96W LoRa Radio Transceiver</t>
  </si>
  <si>
    <t>https://thepihut.com/products/adafruit-rfm96w-lora-radio-transceiver-breakout-433-mhz</t>
  </si>
  <si>
    <t>Texas Instruments MUX509</t>
  </si>
  <si>
    <t>https://www.mouser.co.uk/ProductDetail/Texas-Instruments/MUX509ID?qs=OEYMhS7p3Ya43Qua%2FIDPxQ%3D%3D</t>
  </si>
  <si>
    <t>Rasberry Pi Camera 3</t>
  </si>
  <si>
    <t>https://thepihut.com/products/raspberry-pi-camera-module-3?variant=42305752039619</t>
  </si>
  <si>
    <t>Rasberry Pi 4B 4GB</t>
  </si>
  <si>
    <t>https://thepihut.com/products/raspberry-pi-4-model-b?variant=20064052740158</t>
  </si>
  <si>
    <t>Total</t>
  </si>
  <si>
    <t>Drone</t>
  </si>
  <si>
    <t>Rasberry Pi CM4 4GB</t>
  </si>
  <si>
    <t> </t>
  </si>
  <si>
    <t>This Semester Known Total</t>
  </si>
  <si>
    <t>This Semester Estimated Total</t>
  </si>
  <si>
    <t>Lander</t>
  </si>
  <si>
    <t>Next Year Known Total</t>
  </si>
  <si>
    <t>Next Year 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</si>
</sst>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  <font>
      <name val="Aptos Narrow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fontId="1" applyFont="1"/>
    <xf fontId="2" applyFont="1"/>
    <xf fontId="2" applyFont="1" fillId="2" applyFill="1"/>
  </cellStyleXfs>
  <cellXfs count="4">
    <xf numFmtId="0" fontId="0" fillId="0" borderId="0" xfId="0"/>
    <xf xfId="1" quotePrefix="0" pivotButton="0" fontId="1" applyFont="1"/>
    <xf xfId="2" quotePrefix="0" pivotButton="0" fontId="2" applyFont="1"/>
    <xf xfId="3" quotePrefix="0" pivotButton="0" fontId="2" applyFont="1" fillId="2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9.20"/>
  <cols>
    <col min="1" max="1" width="32.75" customWidth="1" hidden="0"/>
  </cols>
  <sheetData>
    <row r="1" ht="14.25" customHeight="true">
      <c r="A1" s="1" t="s">
        <v>0</v>
      </c>
    </row>
    <row r="2" ht="14.25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4.25" customHeight="true">
      <c r="A3" s="1" t="s">
        <v>6</v>
      </c>
      <c r="B3" s="1">
        <v>1</v>
      </c>
      <c r="C3" s="1">
        <v>33.6</v>
      </c>
      <c r="D3" s="1">
        <f>=B3*C3</f>
      </c>
      <c r="E3" s="1" t="s">
        <v>7</v>
      </c>
    </row>
    <row r="4" ht="14.25" customHeight="true">
      <c r="A4" s="1" t="s">
        <v>8</v>
      </c>
      <c r="B4" s="1">
        <v>1</v>
      </c>
      <c r="C4" s="1">
        <v>5.4</v>
      </c>
      <c r="D4" s="1">
        <f ref="D4:D5" t="shared" si="1">=B4*C4</f>
      </c>
      <c r="E4" s="1" t="s">
        <v>9</v>
      </c>
    </row>
    <row r="5" ht="14.25" customHeight="true">
      <c r="A5" s="1" t="s">
        <v>10</v>
      </c>
      <c r="B5" s="1">
        <v>1</v>
      </c>
      <c r="C5" s="1">
        <v>2.44</v>
      </c>
      <c r="D5" s="1">
        <f t="shared" si="1"/>
      </c>
      <c r="E5" s="1" t="s">
        <v>11</v>
      </c>
    </row>
    <row r="6" ht="14.25" customHeight="true">
      <c r="A6" s="1" t="s">
        <v>12</v>
      </c>
      <c r="B6" s="1">
        <v>1</v>
      </c>
      <c r="C6" s="1">
        <v>11.08</v>
      </c>
      <c r="D6" s="1">
        <f ref="D6:D11" t="shared" si="0">=B6*C6</f>
      </c>
      <c r="E6" s="1" t="s">
        <v>13</v>
      </c>
    </row>
    <row r="7" ht="14.25" customHeight="true">
      <c r="A7" s="1" t="s">
        <v>14</v>
      </c>
      <c r="B7" s="1">
        <v>1</v>
      </c>
      <c r="C7" s="1">
        <v>9.6</v>
      </c>
      <c r="D7" s="1">
        <f t="shared" si="0"/>
      </c>
      <c r="E7" s="1" t="s">
        <v>15</v>
      </c>
    </row>
    <row r="8" ht="14.25" customHeight="true">
      <c r="A8" s="1" t="s">
        <v>16</v>
      </c>
      <c r="B8" s="1">
        <v>1</v>
      </c>
      <c r="C8" s="1">
        <v>19.1999999999999</v>
      </c>
      <c r="D8" s="1">
        <f t="shared" si="0"/>
      </c>
      <c r="E8" s="1" t="s">
        <v>17</v>
      </c>
    </row>
    <row r="9" ht="14.25" customHeight="true">
      <c r="A9" s="1" t="s">
        <v>18</v>
      </c>
      <c r="B9" s="1">
        <v>4</v>
      </c>
      <c r="C9" s="1">
        <v>3.15</v>
      </c>
      <c r="D9" s="1">
        <f t="shared" si="0"/>
      </c>
      <c r="E9" s="1" t="s">
        <v>19</v>
      </c>
    </row>
    <row r="10" ht="14.25" customHeight="true">
      <c r="A10" s="1" t="s">
        <v>20</v>
      </c>
      <c r="B10" s="1">
        <v>1</v>
      </c>
      <c r="C10" s="1">
        <v>22.5</v>
      </c>
      <c r="D10" s="1">
        <f t="shared" si="0"/>
      </c>
      <c r="E10" s="1" t="s">
        <v>21</v>
      </c>
    </row>
    <row r="11" ht="14.25" customHeight="true">
      <c r="A11" s="1" t="s">
        <v>22</v>
      </c>
      <c r="B11" s="1">
        <v>0</v>
      </c>
      <c r="C11" s="1">
        <v>96</v>
      </c>
      <c r="D11" s="1">
        <f t="shared" si="0"/>
      </c>
      <c r="E11" s="1" t="s">
        <v>23</v>
      </c>
    </row>
    <row r="12" ht="14.25" customHeight="true">
      <c r="A12" s="2" t="s">
        <v>24</v>
      </c>
      <c r="B12" s="2"/>
      <c r="C12" s="2"/>
      <c r="D12" s="2">
        <f>=SUM(D3:D10)</f>
      </c>
    </row>
    <row r="14" ht="14.25" customHeight="true">
      <c r="A14" s="1" t="s">
        <v>25</v>
      </c>
    </row>
    <row r="15" ht="14.25" customHeight="true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</row>
    <row r="16" ht="14.25" customHeight="true">
      <c r="A16" s="1" t="s">
        <v>6</v>
      </c>
      <c r="B16" s="1">
        <v>1</v>
      </c>
      <c r="C16" s="1">
        <v>33.6</v>
      </c>
      <c r="D16" s="1">
        <f>=B16*C16</f>
      </c>
      <c r="E16" s="1" t="s">
        <v>7</v>
      </c>
    </row>
    <row r="17" ht="14.25" customHeight="true">
      <c r="A17" s="1" t="s">
        <v>8</v>
      </c>
      <c r="B17" s="1">
        <v>1</v>
      </c>
      <c r="C17" s="1">
        <v>5.4</v>
      </c>
      <c r="D17" s="1">
        <f ref="D17:D18" t="shared" si="3">=B17*C17</f>
      </c>
      <c r="E17" s="1" t="s">
        <v>9</v>
      </c>
    </row>
    <row r="18" ht="14.25" customHeight="true">
      <c r="A18" s="1" t="s">
        <v>10</v>
      </c>
      <c r="B18" s="1">
        <v>1</v>
      </c>
      <c r="C18" s="1">
        <v>2.44</v>
      </c>
      <c r="D18" s="1">
        <f t="shared" si="3"/>
      </c>
      <c r="E18" s="1" t="s">
        <v>11</v>
      </c>
    </row>
    <row r="19" ht="14.25" customHeight="true">
      <c r="A19" s="1" t="s">
        <v>12</v>
      </c>
      <c r="B19" s="1">
        <v>1</v>
      </c>
      <c r="C19" s="1">
        <v>11.08</v>
      </c>
      <c r="D19" s="1">
        <f ref="D19:D24" t="shared" si="2">=B19*C19</f>
      </c>
      <c r="E19" s="1" t="s">
        <v>13</v>
      </c>
    </row>
    <row r="20" ht="14.25" customHeight="true">
      <c r="A20" s="1" t="s">
        <v>14</v>
      </c>
      <c r="B20" s="1">
        <v>1</v>
      </c>
      <c r="C20" s="1">
        <v>9.6</v>
      </c>
      <c r="D20" s="1">
        <f t="shared" si="2"/>
      </c>
      <c r="E20" s="1" t="s">
        <v>15</v>
      </c>
    </row>
    <row r="21" ht="14.25" customHeight="true">
      <c r="A21" s="1" t="s">
        <v>16</v>
      </c>
      <c r="B21" s="1">
        <v>2</v>
      </c>
      <c r="C21" s="1">
        <v>19.1999999999999</v>
      </c>
      <c r="D21" s="1">
        <f t="shared" si="2"/>
      </c>
      <c r="E21" s="1" t="s">
        <v>17</v>
      </c>
    </row>
    <row r="22" ht="14.25" customHeight="true">
      <c r="A22" s="1" t="s">
        <v>18</v>
      </c>
      <c r="B22" s="1">
        <v>4</v>
      </c>
      <c r="C22" s="1">
        <v>3.15</v>
      </c>
      <c r="D22" s="1">
        <f t="shared" si="2"/>
      </c>
      <c r="E22" s="1" t="s">
        <v>19</v>
      </c>
    </row>
    <row r="23" ht="14.25" customHeight="true">
      <c r="A23" s="1" t="s">
        <v>20</v>
      </c>
      <c r="B23" s="1">
        <v>1</v>
      </c>
      <c r="C23" s="1">
        <v>22.5</v>
      </c>
      <c r="D23" s="1">
        <f t="shared" si="2"/>
      </c>
      <c r="E23" s="1" t="s">
        <v>21</v>
      </c>
    </row>
    <row r="24" ht="14.25" customHeight="true">
      <c r="A24" s="1" t="s">
        <v>26</v>
      </c>
      <c r="B24" s="1">
        <v>1</v>
      </c>
      <c r="C24" s="1">
        <v>96</v>
      </c>
      <c r="D24" s="1">
        <f t="shared" si="2"/>
      </c>
      <c r="E24" s="1" t="s">
        <v>23</v>
      </c>
    </row>
    <row r="25" ht="14.25" customHeight="true">
      <c r="A25" s="2" t="s">
        <v>24</v>
      </c>
      <c r="B25" s="2"/>
      <c r="C25" s="2"/>
      <c r="D25" s="2">
        <f>=SUM(D16:D24)</f>
      </c>
    </row>
    <row r="26" ht="14.25" customHeight="true">
      <c r="A26" s="1" t="s">
        <v>27</v>
      </c>
    </row>
    <row r="27" ht="14.25" customHeight="true">
      <c r="A27" s="3" t="s">
        <v>28</v>
      </c>
      <c r="B27" s="3"/>
      <c r="C27" s="3"/>
      <c r="D27" s="3">
        <f>=D25</f>
      </c>
    </row>
    <row r="28" ht="14.25" customHeight="true">
      <c r="A28" s="3" t="s">
        <v>29</v>
      </c>
      <c r="B28" s="3"/>
      <c r="C28" s="3"/>
      <c r="D28" s="3">
        <v>220</v>
      </c>
    </row>
    <row r="30" ht="14.25" customHeight="true">
      <c r="A30" s="1" t="s">
        <v>30</v>
      </c>
      <c r="E30" s="1" t="s">
        <v>5</v>
      </c>
    </row>
    <row r="31" ht="14.25" customHeight="true">
      <c r="A31" s="1" t="s">
        <v>1</v>
      </c>
      <c r="B31" s="1" t="s">
        <v>2</v>
      </c>
      <c r="C31" s="1" t="s">
        <v>3</v>
      </c>
      <c r="D31" s="1" t="s">
        <v>4</v>
      </c>
      <c r="E31" s="1" t="s">
        <v>23</v>
      </c>
    </row>
    <row r="32" ht="14.25" customHeight="true">
      <c r="A32" s="1" t="s">
        <v>26</v>
      </c>
      <c r="B32" s="1">
        <v>3</v>
      </c>
      <c r="C32" s="1">
        <v>96</v>
      </c>
      <c r="D32" s="1">
        <f ref="D32:D40" t="shared" si="4">=B32*C32</f>
      </c>
      <c r="E32" s="1" t="s">
        <v>9</v>
      </c>
    </row>
    <row r="33" ht="14.25" customHeight="true">
      <c r="A33" s="1" t="s">
        <v>8</v>
      </c>
      <c r="B33" s="1">
        <v>3</v>
      </c>
      <c r="C33" s="1">
        <v>5.4</v>
      </c>
      <c r="D33" s="1">
        <f t="shared" si="4"/>
      </c>
      <c r="E33" s="1" t="s">
        <v>11</v>
      </c>
    </row>
    <row r="34" ht="14.25" customHeight="true">
      <c r="A34" s="1" t="s">
        <v>10</v>
      </c>
      <c r="B34" s="1">
        <v>3</v>
      </c>
      <c r="C34" s="1">
        <v>2.44</v>
      </c>
      <c r="D34" s="1">
        <f t="shared" si="4"/>
      </c>
      <c r="E34" s="1" t="s">
        <v>19</v>
      </c>
    </row>
    <row r="35" ht="14.25" customHeight="true">
      <c r="A35" s="1" t="s">
        <v>18</v>
      </c>
      <c r="B35" s="1">
        <v>4</v>
      </c>
      <c r="C35" s="1">
        <v>3.15</v>
      </c>
      <c r="D35" s="1">
        <f t="shared" si="4"/>
      </c>
      <c r="E35" s="1" t="s">
        <v>7</v>
      </c>
    </row>
    <row r="36" ht="14.25" customHeight="true">
      <c r="A36" s="1" t="s">
        <v>6</v>
      </c>
      <c r="B36" s="1">
        <v>3</v>
      </c>
      <c r="C36" s="1">
        <v>33.6</v>
      </c>
      <c r="D36" s="1">
        <f t="shared" si="4"/>
      </c>
      <c r="E36" s="1" t="s">
        <v>15</v>
      </c>
    </row>
    <row r="37" ht="14.25" customHeight="true">
      <c r="A37" s="1" t="s">
        <v>14</v>
      </c>
      <c r="B37" s="1">
        <v>3</v>
      </c>
      <c r="C37" s="1">
        <v>9.6</v>
      </c>
      <c r="D37" s="1">
        <f t="shared" si="4"/>
      </c>
      <c r="E37" s="1" t="s">
        <v>17</v>
      </c>
    </row>
    <row r="38" ht="14.25" customHeight="true">
      <c r="A38" s="1" t="s">
        <v>16</v>
      </c>
      <c r="B38" s="1">
        <v>2</v>
      </c>
      <c r="C38" s="1">
        <v>19.1999999999999</v>
      </c>
      <c r="D38" s="1">
        <f t="shared" si="4"/>
      </c>
      <c r="E38" s="1" t="s">
        <v>13</v>
      </c>
    </row>
    <row r="39" ht="14.25" customHeight="true">
      <c r="A39" s="1" t="s">
        <v>12</v>
      </c>
      <c r="B39" s="1">
        <v>3</v>
      </c>
      <c r="C39" s="1">
        <v>11.08</v>
      </c>
      <c r="D39" s="1">
        <f t="shared" si="4"/>
      </c>
      <c r="E39" s="1" t="s">
        <v>13</v>
      </c>
    </row>
    <row r="40" ht="14.25" customHeight="true">
      <c r="A40" s="1" t="s">
        <v>20</v>
      </c>
      <c r="B40" s="1">
        <v>2</v>
      </c>
      <c r="C40" s="1">
        <v>22.5</v>
      </c>
      <c r="D40" s="1">
        <f t="shared" si="4"/>
      </c>
      <c r="E40" s="1" t="s">
        <v>21</v>
      </c>
    </row>
    <row r="41" ht="14.25" customHeight="true">
      <c r="A41" s="2" t="s">
        <v>24</v>
      </c>
      <c r="B41" s="2"/>
      <c r="C41" s="2"/>
      <c r="D41" s="2">
        <f>=SUM(D32:D40)</f>
      </c>
    </row>
    <row r="43" ht="14.25" customHeight="true">
      <c r="A43" s="3" t="s">
        <v>31</v>
      </c>
      <c r="B43" s="3"/>
      <c r="C43" s="3"/>
      <c r="D43" s="3">
        <f>=D41</f>
      </c>
    </row>
    <row r="44" ht="14.25" customHeight="true">
      <c r="A44" s="3" t="s">
        <v>32</v>
      </c>
      <c r="B44" s="3"/>
      <c r="C44" s="3"/>
      <c r="D44" s="3">
        <v>600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2026-05-01T11:58:05Z</dcterms:created>
  <dcterms:modified xsi:type="dcterms:W3CDTF">2026-05-01T11:58:05Z</dcterms:modified>
</cp:coreProperties>
</file>